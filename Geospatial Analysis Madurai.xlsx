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rtual Works\"/>
    </mc:Choice>
  </mc:AlternateContent>
  <xr:revisionPtr revIDLastSave="0" documentId="8_{00DCFB77-75E4-4F98-A40D-C7F3354FC54E}" xr6:coauthVersionLast="47" xr6:coauthVersionMax="47" xr10:uidLastSave="{00000000-0000-0000-0000-000000000000}"/>
  <bookViews>
    <workbookView xWindow="-96" yWindow="0" windowWidth="11712" windowHeight="12336" xr2:uid="{3AADFDB7-95A0-4FC5-9113-38F59EEC883B}"/>
  </bookViews>
  <sheets>
    <sheet name="Sheet1" sheetId="1" r:id="rId1"/>
  </sheets>
  <definedNames>
    <definedName name="_xlnm._FilterDatabase" localSheetId="0" hidden="1">Sheet1!$A$1:$H$31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" l="1"/>
  <c r="G35" i="1"/>
  <c r="H5" i="1"/>
  <c r="H6" i="1"/>
  <c r="H7" i="1"/>
  <c r="H8" i="1"/>
  <c r="H9" i="1"/>
  <c r="H11" i="1"/>
  <c r="G3" i="1"/>
  <c r="H3" i="1" s="1"/>
  <c r="G4" i="1"/>
  <c r="H4" i="1" s="1"/>
  <c r="G5" i="1"/>
  <c r="G6" i="1"/>
  <c r="G7" i="1"/>
  <c r="G8" i="1"/>
  <c r="G9" i="1"/>
  <c r="G10" i="1"/>
  <c r="H10" i="1" s="1"/>
  <c r="G11" i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2" i="1"/>
  <c r="H2" i="1" s="1"/>
</calcChain>
</file>

<file path=xl/sharedStrings.xml><?xml version="1.0" encoding="utf-8"?>
<sst xmlns="http://schemas.openxmlformats.org/spreadsheetml/2006/main" count="72" uniqueCount="41">
  <si>
    <t>Area</t>
  </si>
  <si>
    <t>Latitude</t>
  </si>
  <si>
    <t>Longitude</t>
  </si>
  <si>
    <t>Existing Coffee Shops</t>
  </si>
  <si>
    <t>Population</t>
  </si>
  <si>
    <t>Sales Demand</t>
  </si>
  <si>
    <t>Anna Nagar</t>
  </si>
  <si>
    <t>High</t>
  </si>
  <si>
    <t>KK Nagar</t>
  </si>
  <si>
    <t>Medium</t>
  </si>
  <si>
    <t>Mattuthavani</t>
  </si>
  <si>
    <t>Thirunagar</t>
  </si>
  <si>
    <t>Simmakkal</t>
  </si>
  <si>
    <t>Goripalayam</t>
  </si>
  <si>
    <t>Tallakulam</t>
  </si>
  <si>
    <t>Villapuram</t>
  </si>
  <si>
    <t>Palanganatham</t>
  </si>
  <si>
    <t>Bibikulam</t>
  </si>
  <si>
    <t>Arapalayam</t>
  </si>
  <si>
    <t>Periyar Bus Stand</t>
  </si>
  <si>
    <t>Teppakulam</t>
  </si>
  <si>
    <t>Jaihindpuram</t>
  </si>
  <si>
    <t>Munichalai</t>
  </si>
  <si>
    <t>Sellur</t>
  </si>
  <si>
    <t>Narimedu</t>
  </si>
  <si>
    <t>Pasumalai</t>
  </si>
  <si>
    <t>Avaniyapuram</t>
  </si>
  <si>
    <t>Alanganallur</t>
  </si>
  <si>
    <t>Othakadai</t>
  </si>
  <si>
    <t>Madakulam</t>
  </si>
  <si>
    <t>Ellis Nagar</t>
  </si>
  <si>
    <t>Kalavasal</t>
  </si>
  <si>
    <t>Kochadai</t>
  </si>
  <si>
    <t>Anuppanadi</t>
  </si>
  <si>
    <t>Vandiyur</t>
  </si>
  <si>
    <t>Iyer Bungalow</t>
  </si>
  <si>
    <t>Koodal Nagar</t>
  </si>
  <si>
    <t>Pudur</t>
  </si>
  <si>
    <t>Opportunity Score</t>
  </si>
  <si>
    <t>Expansion Priority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</si>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</sst>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2" fontId="0" fillId="0" borderId="0" xfId="0" applyNumberFormat="1" applyAlignment="1"/>
    <xf numFmtId="0" fontId="1" fillId="2" borderId="0" xfId="0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Opportunity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Sheet1!$A$2:$A$31</c:f>
              <c:strCache>
                <c:ptCount val="30"/>
                <c:pt idx="0">
                  <c:v>Anna Nagar</c:v>
                </c:pt>
                <c:pt idx="1">
                  <c:v>KK Nagar</c:v>
                </c:pt>
                <c:pt idx="2">
                  <c:v>Mattuthavani</c:v>
                </c:pt>
                <c:pt idx="3">
                  <c:v>Thirunagar</c:v>
                </c:pt>
                <c:pt idx="4">
                  <c:v>Simmakkal</c:v>
                </c:pt>
                <c:pt idx="5">
                  <c:v>Goripalayam</c:v>
                </c:pt>
                <c:pt idx="6">
                  <c:v>Tallakulam</c:v>
                </c:pt>
                <c:pt idx="7">
                  <c:v>Villapuram</c:v>
                </c:pt>
                <c:pt idx="8">
                  <c:v>Palanganatham</c:v>
                </c:pt>
                <c:pt idx="9">
                  <c:v>Bibikulam</c:v>
                </c:pt>
                <c:pt idx="10">
                  <c:v>Arapalayam</c:v>
                </c:pt>
                <c:pt idx="11">
                  <c:v>Periyar Bus Stand</c:v>
                </c:pt>
                <c:pt idx="12">
                  <c:v>Teppakulam</c:v>
                </c:pt>
                <c:pt idx="13">
                  <c:v>Jaihindpuram</c:v>
                </c:pt>
                <c:pt idx="14">
                  <c:v>Munichalai</c:v>
                </c:pt>
                <c:pt idx="15">
                  <c:v>Sellur</c:v>
                </c:pt>
                <c:pt idx="16">
                  <c:v>Narimedu</c:v>
                </c:pt>
                <c:pt idx="17">
                  <c:v>Pasumalai</c:v>
                </c:pt>
                <c:pt idx="18">
                  <c:v>Avaniyapuram</c:v>
                </c:pt>
                <c:pt idx="19">
                  <c:v>Alanganallur</c:v>
                </c:pt>
                <c:pt idx="20">
                  <c:v>Othakadai</c:v>
                </c:pt>
                <c:pt idx="21">
                  <c:v>Madakulam</c:v>
                </c:pt>
                <c:pt idx="22">
                  <c:v>Ellis Nagar</c:v>
                </c:pt>
                <c:pt idx="23">
                  <c:v>Kalavasal</c:v>
                </c:pt>
                <c:pt idx="24">
                  <c:v>Kochadai</c:v>
                </c:pt>
                <c:pt idx="25">
                  <c:v>Anuppanadi</c:v>
                </c:pt>
                <c:pt idx="26">
                  <c:v>Vandiyur</c:v>
                </c:pt>
                <c:pt idx="27">
                  <c:v>Iyer Bungalow</c:v>
                </c:pt>
                <c:pt idx="28">
                  <c:v>Koodal Nagar</c:v>
                </c:pt>
                <c:pt idx="29">
                  <c:v>Pudur</c:v>
                </c:pt>
              </c:strCache>
            </c:strRef>
          </c:cat>
          <c:val>
            <c:numRef>
              <c:f>Sheet1!$G$2:$G$31</c:f>
              <c:numCache>
                <c:formatCode>0.00</c:formatCode>
                <c:ptCount val="30"/>
                <c:pt idx="0">
                  <c:v>31250</c:v>
                </c:pt>
                <c:pt idx="1">
                  <c:v>30000</c:v>
                </c:pt>
                <c:pt idx="2">
                  <c:v>100000</c:v>
                </c:pt>
                <c:pt idx="3">
                  <c:v>110000</c:v>
                </c:pt>
                <c:pt idx="4">
                  <c:v>16666.666666666668</c:v>
                </c:pt>
                <c:pt idx="5">
                  <c:v>42000</c:v>
                </c:pt>
                <c:pt idx="6">
                  <c:v>60000</c:v>
                </c:pt>
                <c:pt idx="7">
                  <c:v>130000</c:v>
                </c:pt>
                <c:pt idx="8">
                  <c:v>24285.714285714286</c:v>
                </c:pt>
                <c:pt idx="9">
                  <c:v>93333.333333333328</c:v>
                </c:pt>
                <c:pt idx="10">
                  <c:v>33333.333333333336</c:v>
                </c:pt>
                <c:pt idx="11">
                  <c:v>28750</c:v>
                </c:pt>
                <c:pt idx="12">
                  <c:v>47500</c:v>
                </c:pt>
                <c:pt idx="13">
                  <c:v>70000</c:v>
                </c:pt>
                <c:pt idx="14">
                  <c:v>35000</c:v>
                </c:pt>
                <c:pt idx="15">
                  <c:v>81666.666666666672</c:v>
                </c:pt>
                <c:pt idx="16">
                  <c:v>53750</c:v>
                </c:pt>
                <c:pt idx="17">
                  <c:v>112500</c:v>
                </c:pt>
                <c:pt idx="18">
                  <c:v>85000</c:v>
                </c:pt>
                <c:pt idx="19">
                  <c:v>70000</c:v>
                </c:pt>
                <c:pt idx="20">
                  <c:v>105000</c:v>
                </c:pt>
                <c:pt idx="21">
                  <c:v>66666.666666666672</c:v>
                </c:pt>
                <c:pt idx="22">
                  <c:v>33000</c:v>
                </c:pt>
                <c:pt idx="23">
                  <c:v>30833.333333333332</c:v>
                </c:pt>
                <c:pt idx="24">
                  <c:v>117500</c:v>
                </c:pt>
                <c:pt idx="25">
                  <c:v>73333.333333333328</c:v>
                </c:pt>
                <c:pt idx="26">
                  <c:v>60000</c:v>
                </c:pt>
                <c:pt idx="27">
                  <c:v>65000</c:v>
                </c:pt>
                <c:pt idx="28">
                  <c:v>130000</c:v>
                </c:pt>
                <c:pt idx="29">
                  <c:v>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E-49C7-97AB-CA21187D1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3332463"/>
        <c:axId val="1143340143"/>
      </c:barChart>
      <c:catAx>
        <c:axId val="114333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40143"/>
        <c:crosses val="autoZero"/>
        <c:auto val="1"/>
        <c:lblAlgn val="ctr"/>
        <c:lblOffset val="100"/>
        <c:noMultiLvlLbl val="0"/>
      </c:catAx>
      <c:valAx>
        <c:axId val="114334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3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Demand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86931040922859"/>
          <c:y val="0.17026912386699228"/>
          <c:w val="0.47770183958633067"/>
          <c:h val="0.7851100636062176"/>
        </c:manualLayout>
      </c:layout>
      <c:pieChart>
        <c:varyColors val="1"/>
        <c:ser>
          <c:idx val="0"/>
          <c:order val="0"/>
          <c:tx>
            <c:strRef>
              <c:f>Sheet1!$G$34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explosion val="17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05-4466-99C1-F694FBA573D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Sheet1!$F$35:$F$36</c:f>
              <c:strCache>
                <c:ptCount val="2"/>
                <c:pt idx="0">
                  <c:v>High</c:v>
                </c:pt>
                <c:pt idx="1">
                  <c:v>Medium</c:v>
                </c:pt>
              </c:strCache>
            </c:strRef>
          </c:cat>
          <c:val>
            <c:numRef>
              <c:f>Sheet1!$G$35:$G$36</c:f>
              <c:numCache>
                <c:formatCode>General</c:formatCode>
                <c:ptCount val="2"/>
                <c:pt idx="0">
                  <c:v>17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5-4466-99C1-F694FBA573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Existing Coffee Shops vs Population in Madurai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42717408837717"/>
          <c:y val="0.23405256169511859"/>
          <c:w val="0.8585227666391706"/>
          <c:h val="0.6928904555137522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Population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6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</c:numCache>
            </c:numRef>
          </c:xVal>
          <c:yVal>
            <c:numRef>
              <c:f>Sheet1!$E$2:$E$31</c:f>
              <c:numCache>
                <c:formatCode>General</c:formatCode>
                <c:ptCount val="30"/>
                <c:pt idx="0">
                  <c:v>250000</c:v>
                </c:pt>
                <c:pt idx="1">
                  <c:v>180000</c:v>
                </c:pt>
                <c:pt idx="2">
                  <c:v>300000</c:v>
                </c:pt>
                <c:pt idx="3">
                  <c:v>220000</c:v>
                </c:pt>
                <c:pt idx="4">
                  <c:v>150000</c:v>
                </c:pt>
                <c:pt idx="5">
                  <c:v>210000</c:v>
                </c:pt>
                <c:pt idx="6">
                  <c:v>240000</c:v>
                </c:pt>
                <c:pt idx="7">
                  <c:v>260000</c:v>
                </c:pt>
                <c:pt idx="8">
                  <c:v>170000</c:v>
                </c:pt>
                <c:pt idx="9">
                  <c:v>280000</c:v>
                </c:pt>
                <c:pt idx="10">
                  <c:v>200000</c:v>
                </c:pt>
                <c:pt idx="11">
                  <c:v>230000</c:v>
                </c:pt>
                <c:pt idx="12">
                  <c:v>190000</c:v>
                </c:pt>
                <c:pt idx="13">
                  <c:v>210000</c:v>
                </c:pt>
                <c:pt idx="14">
                  <c:v>175000</c:v>
                </c:pt>
                <c:pt idx="15">
                  <c:v>245000</c:v>
                </c:pt>
                <c:pt idx="16">
                  <c:v>215000</c:v>
                </c:pt>
                <c:pt idx="17">
                  <c:v>225000</c:v>
                </c:pt>
                <c:pt idx="18">
                  <c:v>255000</c:v>
                </c:pt>
                <c:pt idx="19">
                  <c:v>140000</c:v>
                </c:pt>
                <c:pt idx="20">
                  <c:v>210000</c:v>
                </c:pt>
                <c:pt idx="21">
                  <c:v>200000</c:v>
                </c:pt>
                <c:pt idx="22">
                  <c:v>165000</c:v>
                </c:pt>
                <c:pt idx="23">
                  <c:v>185000</c:v>
                </c:pt>
                <c:pt idx="24">
                  <c:v>235000</c:v>
                </c:pt>
                <c:pt idx="25">
                  <c:v>220000</c:v>
                </c:pt>
                <c:pt idx="26">
                  <c:v>240000</c:v>
                </c:pt>
                <c:pt idx="27">
                  <c:v>195000</c:v>
                </c:pt>
                <c:pt idx="28">
                  <c:v>260000</c:v>
                </c:pt>
                <c:pt idx="29">
                  <c:v>230000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9A-4A90-B91C-6E6F510EC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532559"/>
        <c:axId val="1268533039"/>
      </c:scatterChart>
      <c:valAx>
        <c:axId val="126853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Existing Coffee Shops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533039"/>
        <c:crosses val="autoZero"/>
        <c:crossBetween val="midCat"/>
      </c:valAx>
      <c:valAx>
        <c:axId val="126853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53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408710</xdr:colOff>
      <xdr:row>33</xdr:row>
      <xdr:rowOff>124689</xdr:rowOff>
    </xdr:from>
    <xdr:to>
      <xdr:col>4</xdr:col>
      <xdr:colOff>331304</xdr:colOff>
      <xdr:row>73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FEFF50-76EC-EC21-DAC1-E657C9188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900744</xdr:colOff>
      <xdr:row>37</xdr:row>
      <xdr:rowOff>49694</xdr:rowOff>
    </xdr:from>
    <xdr:to>
      <xdr:col>7</xdr:col>
      <xdr:colOff>927651</xdr:colOff>
      <xdr:row>54</xdr:row>
      <xdr:rowOff>82825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250FC4-87F3-36BF-D71C-CB3735635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917603</xdr:colOff>
      <xdr:row>55</xdr:row>
      <xdr:rowOff>115957</xdr:rowOff>
    </xdr:from>
    <xdr:to>
      <xdr:col>7</xdr:col>
      <xdr:colOff>977347</xdr:colOff>
      <xdr:row>74</xdr:row>
      <xdr:rowOff>66260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C12833-6464-D9D9-84D1-4A0F68022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E354-4180-47F0-9FB3-C0DF9194FAE9}">
  <dimension ref="A1:H36"/>
  <sheetViews>
    <sheetView tabSelected="1" topLeftCell="A10" zoomScale="82" zoomScaleNormal="323" workbookViewId="0">
      <selection activeCell="I50" sqref="I50"/>
    </sheetView>
  </sheetViews>
  <sheetFormatPr defaultRowHeight="14.4" x14ac:dyDescent="0.3"/>
  <cols>
    <col min="1" max="1" width="18.109375" style="2" bestFit="1" customWidth="1"/>
    <col min="2" max="2" width="19.109375" style="2" bestFit="1" customWidth="1"/>
    <col min="3" max="3" width="21.109375" style="2" bestFit="1" customWidth="1"/>
    <col min="4" max="4" width="34.88671875" style="2" bestFit="1" customWidth="1"/>
    <col min="5" max="5" width="21.88671875" style="2" bestFit="1" customWidth="1"/>
    <col min="6" max="6" width="26" style="2" bestFit="1" customWidth="1"/>
    <col min="7" max="7" width="26.5546875" style="4" bestFit="1" customWidth="1"/>
    <col min="8" max="8" width="26.21875" style="2" bestFit="1" customWidth="1"/>
    <col min="9" max="10" width="8.88671875" style="2"/>
    <col min="11" max="11" width="10.77734375" style="2" bestFit="1" customWidth="1"/>
    <col min="12" max="16384" width="8.88671875" style="2"/>
  </cols>
  <sheetData>
    <row r="1" spans="1:8" ht="2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38</v>
      </c>
      <c r="H1" s="7" t="s">
        <v>39</v>
      </c>
    </row>
    <row r="2" spans="1:8" x14ac:dyDescent="0.3">
      <c r="A2" s="3" t="s">
        <v>6</v>
      </c>
      <c r="B2" s="3">
        <v>9.9177999999999997</v>
      </c>
      <c r="C2" s="3">
        <v>78.148099999999999</v>
      </c>
      <c r="D2" s="3">
        <v>7</v>
      </c>
      <c r="E2" s="3">
        <v>250000</v>
      </c>
      <c r="F2" s="3" t="s">
        <v>7</v>
      </c>
      <c r="G2" s="4">
        <f>E2/(D2+1)</f>
        <v>31250</v>
      </c>
      <c r="H2" s="2" t="str">
        <f>IF(G2&gt;80000,"Very High",IF(G2&gt;50000,"High","Medium"))</f>
        <v>Medium</v>
      </c>
    </row>
    <row r="3" spans="1:8" x14ac:dyDescent="0.3">
      <c r="A3" s="3" t="s">
        <v>8</v>
      </c>
      <c r="B3" s="3">
        <v>9.9204000000000008</v>
      </c>
      <c r="C3" s="3">
        <v>78.119799999999998</v>
      </c>
      <c r="D3" s="3">
        <v>5</v>
      </c>
      <c r="E3" s="3">
        <v>180000</v>
      </c>
      <c r="F3" s="3" t="s">
        <v>9</v>
      </c>
      <c r="G3" s="4">
        <f>E3/(D3+1)</f>
        <v>30000</v>
      </c>
      <c r="H3" s="2" t="str">
        <f>IF(G3&gt;80000,"Very High",IF(G3&gt;50000,"High","Medium"))</f>
        <v>Medium</v>
      </c>
    </row>
    <row r="4" spans="1:8" x14ac:dyDescent="0.3">
      <c r="A4" s="3" t="s">
        <v>10</v>
      </c>
      <c r="B4" s="3">
        <v>9.9499999999999993</v>
      </c>
      <c r="C4" s="3">
        <v>78.167000000000002</v>
      </c>
      <c r="D4" s="3">
        <v>2</v>
      </c>
      <c r="E4" s="3">
        <v>300000</v>
      </c>
      <c r="F4" s="3" t="s">
        <v>7</v>
      </c>
      <c r="G4" s="4">
        <f>E4/(D4+1)</f>
        <v>100000</v>
      </c>
      <c r="H4" s="2" t="str">
        <f>IF(G4&gt;80000,"Very High",IF(G4&gt;50000,"High","Medium"))</f>
        <v>Very High</v>
      </c>
    </row>
    <row r="5" spans="1:8" x14ac:dyDescent="0.3">
      <c r="A5" s="3" t="s">
        <v>11</v>
      </c>
      <c r="B5" s="3">
        <v>9.8840000000000003</v>
      </c>
      <c r="C5" s="3">
        <v>78.081999999999994</v>
      </c>
      <c r="D5" s="3">
        <v>1</v>
      </c>
      <c r="E5" s="3">
        <v>220000</v>
      </c>
      <c r="F5" s="3" t="s">
        <v>7</v>
      </c>
      <c r="G5" s="4">
        <f>E5/(D5+1)</f>
        <v>110000</v>
      </c>
      <c r="H5" s="2" t="str">
        <f>IF(G5&gt;80000,"Very High",IF(G5&gt;50000,"High","Medium"))</f>
        <v>Very High</v>
      </c>
    </row>
    <row r="6" spans="1:8" x14ac:dyDescent="0.3">
      <c r="A6" s="3" t="s">
        <v>12</v>
      </c>
      <c r="B6" s="3">
        <v>9.9252000000000002</v>
      </c>
      <c r="C6" s="3">
        <v>78.119500000000002</v>
      </c>
      <c r="D6" s="3">
        <v>8</v>
      </c>
      <c r="E6" s="3">
        <v>150000</v>
      </c>
      <c r="F6" s="3" t="s">
        <v>9</v>
      </c>
      <c r="G6" s="4">
        <f>E6/(D6+1)</f>
        <v>16666.666666666668</v>
      </c>
      <c r="H6" s="2" t="str">
        <f>IF(G6&gt;80000,"Very High",IF(G6&gt;50000,"High","Medium"))</f>
        <v>Medium</v>
      </c>
    </row>
    <row r="7" spans="1:8" x14ac:dyDescent="0.3">
      <c r="A7" s="3" t="s">
        <v>13</v>
      </c>
      <c r="B7" s="3">
        <v>9.9344999999999999</v>
      </c>
      <c r="C7" s="3">
        <v>78.130200000000002</v>
      </c>
      <c r="D7" s="3">
        <v>4</v>
      </c>
      <c r="E7" s="3">
        <v>210000</v>
      </c>
      <c r="F7" s="3" t="s">
        <v>9</v>
      </c>
      <c r="G7" s="4">
        <f>E7/(D7+1)</f>
        <v>42000</v>
      </c>
      <c r="H7" s="2" t="str">
        <f>IF(G7&gt;80000,"Very High",IF(G7&gt;50000,"High","Medium"))</f>
        <v>Medium</v>
      </c>
    </row>
    <row r="8" spans="1:8" x14ac:dyDescent="0.3">
      <c r="A8" s="3" t="s">
        <v>14</v>
      </c>
      <c r="B8" s="3">
        <v>9.9388000000000005</v>
      </c>
      <c r="C8" s="3">
        <v>78.138199999999998</v>
      </c>
      <c r="D8" s="3">
        <v>3</v>
      </c>
      <c r="E8" s="3">
        <v>240000</v>
      </c>
      <c r="F8" s="3" t="s">
        <v>7</v>
      </c>
      <c r="G8" s="4">
        <f>E8/(D8+1)</f>
        <v>60000</v>
      </c>
      <c r="H8" s="2" t="str">
        <f>IF(G8&gt;80000,"Very High",IF(G8&gt;50000,"High","Medium"))</f>
        <v>High</v>
      </c>
    </row>
    <row r="9" spans="1:8" x14ac:dyDescent="0.3">
      <c r="A9" s="3" t="s">
        <v>15</v>
      </c>
      <c r="B9" s="3">
        <v>9.8977000000000004</v>
      </c>
      <c r="C9" s="3">
        <v>78.120999999999995</v>
      </c>
      <c r="D9" s="3">
        <v>1</v>
      </c>
      <c r="E9" s="3">
        <v>260000</v>
      </c>
      <c r="F9" s="3" t="s">
        <v>7</v>
      </c>
      <c r="G9" s="4">
        <f>E9/(D9+1)</f>
        <v>130000</v>
      </c>
      <c r="H9" s="2" t="str">
        <f>IF(G9&gt;80000,"Very High",IF(G9&gt;50000,"High","Medium"))</f>
        <v>Very High</v>
      </c>
    </row>
    <row r="10" spans="1:8" x14ac:dyDescent="0.3">
      <c r="A10" s="3" t="s">
        <v>16</v>
      </c>
      <c r="B10" s="3">
        <v>9.9049999999999994</v>
      </c>
      <c r="C10" s="3">
        <v>78.126000000000005</v>
      </c>
      <c r="D10" s="3">
        <v>6</v>
      </c>
      <c r="E10" s="3">
        <v>170000</v>
      </c>
      <c r="F10" s="3" t="s">
        <v>9</v>
      </c>
      <c r="G10" s="4">
        <f>E10/(D10+1)</f>
        <v>24285.714285714286</v>
      </c>
      <c r="H10" s="2" t="str">
        <f>IF(G10&gt;80000,"Very High",IF(G10&gt;50000,"High","Medium"))</f>
        <v>Medium</v>
      </c>
    </row>
    <row r="11" spans="1:8" x14ac:dyDescent="0.3">
      <c r="A11" s="3" t="s">
        <v>17</v>
      </c>
      <c r="B11" s="3">
        <v>9.9440000000000008</v>
      </c>
      <c r="C11" s="3">
        <v>78.131</v>
      </c>
      <c r="D11" s="3">
        <v>2</v>
      </c>
      <c r="E11" s="3">
        <v>280000</v>
      </c>
      <c r="F11" s="3" t="s">
        <v>7</v>
      </c>
      <c r="G11" s="4">
        <f>E11/(D11+1)</f>
        <v>93333.333333333328</v>
      </c>
      <c r="H11" s="2" t="str">
        <f>IF(G11&gt;80000,"Very High",IF(G11&gt;50000,"High","Medium"))</f>
        <v>Very High</v>
      </c>
    </row>
    <row r="12" spans="1:8" x14ac:dyDescent="0.3">
      <c r="A12" s="3" t="s">
        <v>18</v>
      </c>
      <c r="B12" s="3">
        <v>9.9320000000000004</v>
      </c>
      <c r="C12" s="3">
        <v>78.103999999999999</v>
      </c>
      <c r="D12" s="3">
        <v>5</v>
      </c>
      <c r="E12" s="3">
        <v>200000</v>
      </c>
      <c r="F12" s="3" t="s">
        <v>9</v>
      </c>
      <c r="G12" s="4">
        <f>E12/(D12+1)</f>
        <v>33333.333333333336</v>
      </c>
      <c r="H12" s="2" t="str">
        <f>IF(G12&gt;80000,"Very High",IF(G12&gt;50000,"High","Medium"))</f>
        <v>Medium</v>
      </c>
    </row>
    <row r="13" spans="1:8" x14ac:dyDescent="0.3">
      <c r="A13" s="3" t="s">
        <v>19</v>
      </c>
      <c r="B13" s="3">
        <v>9.9194999999999993</v>
      </c>
      <c r="C13" s="3">
        <v>78.119</v>
      </c>
      <c r="D13" s="3">
        <v>7</v>
      </c>
      <c r="E13" s="3">
        <v>230000</v>
      </c>
      <c r="F13" s="3" t="s">
        <v>7</v>
      </c>
      <c r="G13" s="4">
        <f>E13/(D13+1)</f>
        <v>28750</v>
      </c>
      <c r="H13" s="2" t="str">
        <f>IF(G13&gt;80000,"Very High",IF(G13&gt;50000,"High","Medium"))</f>
        <v>Medium</v>
      </c>
    </row>
    <row r="14" spans="1:8" x14ac:dyDescent="0.3">
      <c r="A14" s="3" t="s">
        <v>20</v>
      </c>
      <c r="B14" s="3">
        <v>9.9124999999999996</v>
      </c>
      <c r="C14" s="3">
        <v>78.144999999999996</v>
      </c>
      <c r="D14" s="3">
        <v>3</v>
      </c>
      <c r="E14" s="3">
        <v>190000</v>
      </c>
      <c r="F14" s="3" t="s">
        <v>9</v>
      </c>
      <c r="G14" s="4">
        <f>E14/(D14+1)</f>
        <v>47500</v>
      </c>
      <c r="H14" s="2" t="str">
        <f>IF(G14&gt;80000,"Very High",IF(G14&gt;50000,"High","Medium"))</f>
        <v>Medium</v>
      </c>
    </row>
    <row r="15" spans="1:8" x14ac:dyDescent="0.3">
      <c r="A15" s="3" t="s">
        <v>21</v>
      </c>
      <c r="B15" s="3">
        <v>9.9071999999999996</v>
      </c>
      <c r="C15" s="3">
        <v>78.11</v>
      </c>
      <c r="D15" s="3">
        <v>2</v>
      </c>
      <c r="E15" s="3">
        <v>210000</v>
      </c>
      <c r="F15" s="3" t="s">
        <v>7</v>
      </c>
      <c r="G15" s="4">
        <f>E15/(D15+1)</f>
        <v>70000</v>
      </c>
      <c r="H15" s="2" t="str">
        <f>IF(G15&gt;80000,"Very High",IF(G15&gt;50000,"High","Medium"))</f>
        <v>High</v>
      </c>
    </row>
    <row r="16" spans="1:8" x14ac:dyDescent="0.3">
      <c r="A16" s="3" t="s">
        <v>22</v>
      </c>
      <c r="B16" s="3">
        <v>9.9139999999999997</v>
      </c>
      <c r="C16" s="3">
        <v>78.113500000000002</v>
      </c>
      <c r="D16" s="3">
        <v>4</v>
      </c>
      <c r="E16" s="3">
        <v>175000</v>
      </c>
      <c r="F16" s="3" t="s">
        <v>9</v>
      </c>
      <c r="G16" s="4">
        <f>E16/(D16+1)</f>
        <v>35000</v>
      </c>
      <c r="H16" s="2" t="str">
        <f>IF(G16&gt;80000,"Very High",IF(G16&gt;50000,"High","Medium"))</f>
        <v>Medium</v>
      </c>
    </row>
    <row r="17" spans="1:8" x14ac:dyDescent="0.3">
      <c r="A17" s="3" t="s">
        <v>23</v>
      </c>
      <c r="B17" s="3">
        <v>9.9395000000000007</v>
      </c>
      <c r="C17" s="3">
        <v>78.108800000000002</v>
      </c>
      <c r="D17" s="3">
        <v>2</v>
      </c>
      <c r="E17" s="3">
        <v>245000</v>
      </c>
      <c r="F17" s="3" t="s">
        <v>7</v>
      </c>
      <c r="G17" s="4">
        <f>E17/(D17+1)</f>
        <v>81666.666666666672</v>
      </c>
      <c r="H17" s="2" t="str">
        <f>IF(G17&gt;80000,"Very High",IF(G17&gt;50000,"High","Medium"))</f>
        <v>Very High</v>
      </c>
    </row>
    <row r="18" spans="1:8" x14ac:dyDescent="0.3">
      <c r="A18" s="3" t="s">
        <v>24</v>
      </c>
      <c r="B18" s="3">
        <v>9.9309999999999992</v>
      </c>
      <c r="C18" s="3">
        <v>78.136499999999998</v>
      </c>
      <c r="D18" s="3">
        <v>3</v>
      </c>
      <c r="E18" s="3">
        <v>215000</v>
      </c>
      <c r="F18" s="3" t="s">
        <v>9</v>
      </c>
      <c r="G18" s="4">
        <f>E18/(D18+1)</f>
        <v>53750</v>
      </c>
      <c r="H18" s="2" t="str">
        <f>IF(G18&gt;80000,"Very High",IF(G18&gt;50000,"High","Medium"))</f>
        <v>High</v>
      </c>
    </row>
    <row r="19" spans="1:8" x14ac:dyDescent="0.3">
      <c r="A19" s="3" t="s">
        <v>25</v>
      </c>
      <c r="B19" s="3">
        <v>9.8821999999999992</v>
      </c>
      <c r="C19" s="3">
        <v>78.128500000000003</v>
      </c>
      <c r="D19" s="3">
        <v>1</v>
      </c>
      <c r="E19" s="3">
        <v>225000</v>
      </c>
      <c r="F19" s="3" t="s">
        <v>7</v>
      </c>
      <c r="G19" s="4">
        <f>E19/(D19+1)</f>
        <v>112500</v>
      </c>
      <c r="H19" s="2" t="str">
        <f>IF(G19&gt;80000,"Very High",IF(G19&gt;50000,"High","Medium"))</f>
        <v>Very High</v>
      </c>
    </row>
    <row r="20" spans="1:8" x14ac:dyDescent="0.3">
      <c r="A20" s="3" t="s">
        <v>26</v>
      </c>
      <c r="B20" s="3">
        <v>9.8734999999999999</v>
      </c>
      <c r="C20" s="3">
        <v>78.117999999999995</v>
      </c>
      <c r="D20" s="3">
        <v>2</v>
      </c>
      <c r="E20" s="3">
        <v>255000</v>
      </c>
      <c r="F20" s="3" t="s">
        <v>7</v>
      </c>
      <c r="G20" s="4">
        <f>E20/(D20+1)</f>
        <v>85000</v>
      </c>
      <c r="H20" s="2" t="str">
        <f>IF(G20&gt;80000,"Very High",IF(G20&gt;50000,"High","Medium"))</f>
        <v>Very High</v>
      </c>
    </row>
    <row r="21" spans="1:8" x14ac:dyDescent="0.3">
      <c r="A21" s="3" t="s">
        <v>27</v>
      </c>
      <c r="B21" s="3">
        <v>10.0465</v>
      </c>
      <c r="C21" s="3">
        <v>78.090500000000006</v>
      </c>
      <c r="D21" s="3">
        <v>1</v>
      </c>
      <c r="E21" s="3">
        <v>140000</v>
      </c>
      <c r="F21" s="3" t="s">
        <v>9</v>
      </c>
      <c r="G21" s="4">
        <f>E21/(D21+1)</f>
        <v>70000</v>
      </c>
      <c r="H21" s="2" t="str">
        <f>IF(G21&gt;80000,"Very High",IF(G21&gt;50000,"High","Medium"))</f>
        <v>High</v>
      </c>
    </row>
    <row r="22" spans="1:8" x14ac:dyDescent="0.3">
      <c r="A22" s="3" t="s">
        <v>28</v>
      </c>
      <c r="B22" s="3">
        <v>9.9964999999999993</v>
      </c>
      <c r="C22" s="3">
        <v>78.176000000000002</v>
      </c>
      <c r="D22" s="3">
        <v>1</v>
      </c>
      <c r="E22" s="3">
        <v>210000</v>
      </c>
      <c r="F22" s="3" t="s">
        <v>7</v>
      </c>
      <c r="G22" s="4">
        <f>E22/(D22+1)</f>
        <v>105000</v>
      </c>
      <c r="H22" s="2" t="str">
        <f>IF(G22&gt;80000,"Very High",IF(G22&gt;50000,"High","Medium"))</f>
        <v>Very High</v>
      </c>
    </row>
    <row r="23" spans="1:8" x14ac:dyDescent="0.3">
      <c r="A23" s="3" t="s">
        <v>29</v>
      </c>
      <c r="B23" s="3">
        <v>9.8895</v>
      </c>
      <c r="C23" s="3">
        <v>78.101500000000001</v>
      </c>
      <c r="D23" s="3">
        <v>2</v>
      </c>
      <c r="E23" s="3">
        <v>200000</v>
      </c>
      <c r="F23" s="3" t="s">
        <v>9</v>
      </c>
      <c r="G23" s="4">
        <f>E23/(D23+1)</f>
        <v>66666.666666666672</v>
      </c>
      <c r="H23" s="2" t="str">
        <f>IF(G23&gt;80000,"Very High",IF(G23&gt;50000,"High","Medium"))</f>
        <v>High</v>
      </c>
    </row>
    <row r="24" spans="1:8" x14ac:dyDescent="0.3">
      <c r="A24" s="3" t="s">
        <v>30</v>
      </c>
      <c r="B24" s="3">
        <v>9.9085000000000001</v>
      </c>
      <c r="C24" s="3">
        <v>78.100999999999999</v>
      </c>
      <c r="D24" s="3">
        <v>4</v>
      </c>
      <c r="E24" s="3">
        <v>165000</v>
      </c>
      <c r="F24" s="3" t="s">
        <v>9</v>
      </c>
      <c r="G24" s="4">
        <f>E24/(D24+1)</f>
        <v>33000</v>
      </c>
      <c r="H24" s="2" t="str">
        <f>IF(G24&gt;80000,"Very High",IF(G24&gt;50000,"High","Medium"))</f>
        <v>Medium</v>
      </c>
    </row>
    <row r="25" spans="1:8" x14ac:dyDescent="0.3">
      <c r="A25" s="3" t="s">
        <v>31</v>
      </c>
      <c r="B25" s="3">
        <v>9.9160000000000004</v>
      </c>
      <c r="C25" s="3">
        <v>78.096500000000006</v>
      </c>
      <c r="D25" s="3">
        <v>5</v>
      </c>
      <c r="E25" s="3">
        <v>185000</v>
      </c>
      <c r="F25" s="3" t="s">
        <v>9</v>
      </c>
      <c r="G25" s="4">
        <f>E25/(D25+1)</f>
        <v>30833.333333333332</v>
      </c>
      <c r="H25" s="2" t="str">
        <f>IF(G25&gt;80000,"Very High",IF(G25&gt;50000,"High","Medium"))</f>
        <v>Medium</v>
      </c>
    </row>
    <row r="26" spans="1:8" x14ac:dyDescent="0.3">
      <c r="A26" s="3" t="s">
        <v>32</v>
      </c>
      <c r="B26" s="3">
        <v>9.9141999999999992</v>
      </c>
      <c r="C26" s="3">
        <v>78.082999999999998</v>
      </c>
      <c r="D26" s="3">
        <v>1</v>
      </c>
      <c r="E26" s="3">
        <v>235000</v>
      </c>
      <c r="F26" s="3" t="s">
        <v>7</v>
      </c>
      <c r="G26" s="4">
        <f>E26/(D26+1)</f>
        <v>117500</v>
      </c>
      <c r="H26" s="2" t="str">
        <f>IF(G26&gt;80000,"Very High",IF(G26&gt;50000,"High","Medium"))</f>
        <v>Very High</v>
      </c>
    </row>
    <row r="27" spans="1:8" x14ac:dyDescent="0.3">
      <c r="A27" s="3" t="s">
        <v>33</v>
      </c>
      <c r="B27" s="3">
        <v>9.8987999999999996</v>
      </c>
      <c r="C27" s="3">
        <v>78.143500000000003</v>
      </c>
      <c r="D27" s="3">
        <v>2</v>
      </c>
      <c r="E27" s="3">
        <v>220000</v>
      </c>
      <c r="F27" s="3" t="s">
        <v>7</v>
      </c>
      <c r="G27" s="4">
        <f>E27/(D27+1)</f>
        <v>73333.333333333328</v>
      </c>
      <c r="H27" s="2" t="str">
        <f>IF(G27&gt;80000,"Very High",IF(G27&gt;50000,"High","Medium"))</f>
        <v>High</v>
      </c>
    </row>
    <row r="28" spans="1:8" x14ac:dyDescent="0.3">
      <c r="A28" s="3" t="s">
        <v>34</v>
      </c>
      <c r="B28" s="3">
        <v>9.9190000000000005</v>
      </c>
      <c r="C28" s="3">
        <v>78.151200000000003</v>
      </c>
      <c r="D28" s="3">
        <v>3</v>
      </c>
      <c r="E28" s="3">
        <v>240000</v>
      </c>
      <c r="F28" s="3" t="s">
        <v>7</v>
      </c>
      <c r="G28" s="4">
        <f>E28/(D28+1)</f>
        <v>60000</v>
      </c>
      <c r="H28" s="2" t="str">
        <f>IF(G28&gt;80000,"Very High",IF(G28&gt;50000,"High","Medium"))</f>
        <v>High</v>
      </c>
    </row>
    <row r="29" spans="1:8" x14ac:dyDescent="0.3">
      <c r="A29" s="3" t="s">
        <v>35</v>
      </c>
      <c r="B29" s="3">
        <v>9.9602000000000004</v>
      </c>
      <c r="C29" s="3">
        <v>78.134</v>
      </c>
      <c r="D29" s="3">
        <v>2</v>
      </c>
      <c r="E29" s="3">
        <v>195000</v>
      </c>
      <c r="F29" s="3" t="s">
        <v>9</v>
      </c>
      <c r="G29" s="4">
        <f>E29/(D29+1)</f>
        <v>65000</v>
      </c>
      <c r="H29" s="2" t="str">
        <f>IF(G29&gt;80000,"Very High",IF(G29&gt;50000,"High","Medium"))</f>
        <v>High</v>
      </c>
    </row>
    <row r="30" spans="1:8" x14ac:dyDescent="0.3">
      <c r="A30" s="3" t="s">
        <v>36</v>
      </c>
      <c r="B30" s="3">
        <v>9.9685000000000006</v>
      </c>
      <c r="C30" s="3">
        <v>78.103200000000001</v>
      </c>
      <c r="D30" s="3">
        <v>1</v>
      </c>
      <c r="E30" s="3">
        <v>260000</v>
      </c>
      <c r="F30" s="3" t="s">
        <v>7</v>
      </c>
      <c r="G30" s="4">
        <f>E30/(D30+1)</f>
        <v>130000</v>
      </c>
      <c r="H30" s="2" t="str">
        <f>IF(G30&gt;80000,"Very High",IF(G30&gt;50000,"High","Medium"))</f>
        <v>Very High</v>
      </c>
    </row>
    <row r="31" spans="1:8" x14ac:dyDescent="0.3">
      <c r="A31" s="3" t="s">
        <v>37</v>
      </c>
      <c r="B31" s="3">
        <v>9.9491999999999994</v>
      </c>
      <c r="C31" s="3">
        <v>78.145499999999998</v>
      </c>
      <c r="D31" s="3">
        <v>3</v>
      </c>
      <c r="E31" s="3">
        <v>230000</v>
      </c>
      <c r="F31" s="3" t="s">
        <v>7</v>
      </c>
      <c r="G31" s="4">
        <f>E31/(D31+1)</f>
        <v>57500</v>
      </c>
      <c r="H31" s="2" t="str">
        <f>IF(G31&gt;80000,"Very High",IF(G31&gt;50000,"High","Medium"))</f>
        <v>High</v>
      </c>
    </row>
    <row r="34" spans="6:7" x14ac:dyDescent="0.3">
      <c r="F34" s="5" t="s">
        <v>5</v>
      </c>
      <c r="G34" s="5" t="s">
        <v>40</v>
      </c>
    </row>
    <row r="35" spans="6:7" x14ac:dyDescent="0.3">
      <c r="F35" s="1" t="s">
        <v>7</v>
      </c>
      <c r="G35" s="1">
        <f>COUNTIF(F2:F31,"High")</f>
        <v>17</v>
      </c>
    </row>
    <row r="36" spans="6:7" x14ac:dyDescent="0.3">
      <c r="F36" s="1" t="s">
        <v>9</v>
      </c>
      <c r="G36" s="1">
        <f>COUNTIF(F2:F31,"Medium")</f>
        <v>13</v>
      </c>
    </row>
  </sheetData>
  <autoFilter ref="A1:H31" xr:uid="{4B77E354-4180-47F0-9FB3-C0DF9194FAE9}"/>
  <conditionalFormatting sqref="H1:H31">
    <cfRule type="cellIs" dxfId="2" priority="1" operator="equal">
      <formula>"Very High"</formula>
    </cfRule>
    <cfRule type="cellIs" dxfId="1" priority="2" operator="equal">
      <formula>"High"</formula>
    </cfRule>
    <cfRule type="cellIs" dxfId="0" priority="3" operator="equal">
      <formula>"Medium"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Umaiyal Sri</dc:creator>
  <cp:lastModifiedBy>Umaiyal Sri</cp:lastModifiedBy>
  <dcterms:created xsi:type="dcterms:W3CDTF">2026-05-15T06:39:06Z</dcterms:created>
  <dcterms:modified xsi:type="dcterms:W3CDTF">2026-05-15T07:46:05Z</dcterms:modified>
</cp:coreProperties>
</file>